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7305" activeTab="1"/>
  </bookViews>
  <sheets>
    <sheet name="Daily Reports" sheetId="1" r:id="rId1"/>
    <sheet name="MIS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<sst xmlns="http://schemas.openxmlformats.org/spreadsheetml/2006/main" count="43" uniqueCount="27">
  <si>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Date</t>
  </si>
  <si>
    <t>Employee Name</t>
  </si>
  <si>
    <t>Department</t>
  </si>
  <si>
    <t>Target</t>
  </si>
  <si>
    <t>Achievement</t>
  </si>
  <si>
    <t>Status</t>
  </si>
  <si>
    <t>01-05-2026</t>
  </si>
  <si>
    <t>Rahul</t>
  </si>
  <si>
    <t>Sales</t>
  </si>
  <si>
    <t>Pending</t>
  </si>
  <si>
    <t>Aman</t>
  </si>
  <si>
    <t>Completed</t>
  </si>
  <si>
    <t>Priya</t>
  </si>
  <si>
    <t>HR</t>
  </si>
  <si>
    <t>02-05-2026</t>
  </si>
  <si>
    <t>Rohit</t>
  </si>
  <si>
    <t>IT</t>
  </si>
  <si>
    <t>Sneha</t>
  </si>
  <si>
    <t>Finance</t>
  </si>
  <si>
    <t>Metric</t>
  </si>
  <si>
    <t>Value</t>
  </si>
  <si>
    <t>Employee</t>
  </si>
  <si>
    <t>Total Employees</t>
  </si>
  <si>
    <t>Total Target</t>
  </si>
  <si>
    <t>Total Achievement</t>
  </si>
  <si>
    <t>Achievement %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</si>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</sst>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Employee Performance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Dashboard'!$E$1</c:f>
              <c:strCache>
                <c:ptCount val="1"/>
                <c:pt idx="0">
                  <c:v>Achievement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'MIS Dashboard'!$D$2:$D$6</c:f>
              <c:strCache>
                <c:ptCount val="5"/>
                <c:pt idx="0">
                  <c:v>Rahul</c:v>
                </c:pt>
                <c:pt idx="1">
                  <c:v>Aman</c:v>
                </c:pt>
                <c:pt idx="2">
                  <c:v>Priya</c:v>
                </c:pt>
                <c:pt idx="3">
                  <c:v>Rohit</c:v>
                </c:pt>
                <c:pt idx="4">
                  <c:v>Sneha</c:v>
                </c:pt>
              </c:strCache>
            </c:strRef>
          </c:cat>
          <c:val>
            <c:numRef>
              <c:f>'MIS Dashboard'!$E$2:$E$6</c:f>
              <c:numCache>
                <c:formatCode>General</c:formatCode>
                <c:ptCount val="5"/>
                <c:pt idx="0">
                  <c:v>90</c:v>
                </c:pt>
                <c:pt idx="1">
                  <c:v>130</c:v>
                </c:pt>
                <c:pt idx="2">
                  <c:v>70</c:v>
                </c:pt>
                <c:pt idx="3">
                  <c:v>160</c:v>
                </c:pt>
                <c:pt idx="4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Employees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Achievement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152f45-028d-485c-be30-0026dc35438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Target vs Achievement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Reports'!$D$1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'Daily Reports'!$A$2:$A$6</c:f>
              <c:strCache>
                <c:ptCount val="5"/>
                <c:pt idx="0">
                  <c:v>01-05-2026</c:v>
                </c:pt>
                <c:pt idx="1">
                  <c:v>01-05-2026</c:v>
                </c:pt>
                <c:pt idx="2">
                  <c:v>01-05-2026</c:v>
                </c:pt>
                <c:pt idx="3">
                  <c:v>02-05-2026</c:v>
                </c:pt>
                <c:pt idx="4">
                  <c:v>02-05-2026</c:v>
                </c:pt>
              </c:strCache>
            </c:strRef>
          </c:cat>
          <c:val>
            <c:numRef>
              <c:f>'Daily Reports'!$D$2:$D$6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80</c:v>
                </c:pt>
                <c:pt idx="3">
                  <c:v>150</c:v>
                </c:pt>
                <c:pt idx="4">
                  <c:v>110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'Daily Reports'!$E$1</c:f>
              <c:strCache>
                <c:ptCount val="1"/>
                <c:pt idx="0">
                  <c:v>Achievement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'Daily Reports'!$A$2:$A$6</c:f>
              <c:strCache>
                <c:ptCount val="5"/>
                <c:pt idx="0">
                  <c:v>01-05-2026</c:v>
                </c:pt>
                <c:pt idx="1">
                  <c:v>01-05-2026</c:v>
                </c:pt>
                <c:pt idx="2">
                  <c:v>01-05-2026</c:v>
                </c:pt>
                <c:pt idx="3">
                  <c:v>02-05-2026</c:v>
                </c:pt>
                <c:pt idx="4">
                  <c:v>02-05-2026</c:v>
                </c:pt>
              </c:strCache>
            </c:strRef>
          </c:cat>
          <c:val>
            <c:numRef>
              <c:f>'Daily Reports'!$E$2:$E$6</c:f>
              <c:numCache>
                <c:formatCode>General</c:formatCode>
                <c:ptCount val="5"/>
                <c:pt idx="0">
                  <c:v>90</c:v>
                </c:pt>
                <c:pt idx="1">
                  <c:v>130</c:v>
                </c:pt>
                <c:pt idx="2">
                  <c:v>70</c:v>
                </c:pt>
                <c:pt idx="3">
                  <c:v>160</c:v>
                </c:pt>
                <c:pt idx="4">
                  <c:v>105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00a10-44e8-4d5d-a1fb-47fe4cd5975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Work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'MIS Dashboard'!$E$10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'MIS Dashboard'!$D$11:$D$12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'MIS Dashboard'!$E$11:$E$12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251184-baf2-49ce-b099-6b5201ab9e2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5838825" y="190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5838825" y="3238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5400000" cy="2700000"/>
    <xdr:graphicFrame>
      <xdr:nvGraphicFramePr>
        <xdr:cNvPr id="4" name="Chart 3"/>
        <xdr:cNvGraphicFramePr/>
      </xdr:nvGraphicFramePr>
      <xdr:xfrm>
        <a:off x="10039350" y="1905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7" sqref="A7"/>
    </sheetView>
  </sheetViews>
  <sheetFormatPr defaultColWidth="9" defaultRowHeight="15" outlineLevelRow="5" outlineLevelCol="5"/>
  <cols>
    <col min="1" max="6" width="2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>
        <v>90</v>
      </c>
      <c r="F2" t="s">
        <v>9</v>
      </c>
    </row>
    <row r="3" spans="1:6">
      <c r="A3" t="s">
        <v>6</v>
      </c>
      <c r="B3" t="s">
        <v>10</v>
      </c>
      <c r="C3" t="s">
        <v>8</v>
      </c>
      <c r="D3">
        <v>120</v>
      </c>
      <c r="E3">
        <v>130</v>
      </c>
      <c r="F3" t="s">
        <v>11</v>
      </c>
    </row>
    <row r="4" spans="1:6">
      <c r="A4" t="s">
        <v>6</v>
      </c>
      <c r="B4" t="s">
        <v>12</v>
      </c>
      <c r="C4" t="s">
        <v>13</v>
      </c>
      <c r="D4">
        <v>80</v>
      </c>
      <c r="E4">
        <v>70</v>
      </c>
      <c r="F4" t="s">
        <v>9</v>
      </c>
    </row>
    <row r="5" spans="1:6">
      <c r="A5" t="s">
        <v>14</v>
      </c>
      <c r="B5" t="s">
        <v>15</v>
      </c>
      <c r="C5" t="s">
        <v>16</v>
      </c>
      <c r="D5">
        <v>150</v>
      </c>
      <c r="E5">
        <v>160</v>
      </c>
      <c r="F5" t="s">
        <v>11</v>
      </c>
    </row>
    <row r="6" spans="1:6">
      <c r="A6" t="s">
        <v>14</v>
      </c>
      <c r="B6" t="s">
        <v>17</v>
      </c>
      <c r="C6" t="s">
        <v>18</v>
      </c>
      <c r="D6">
        <v>110</v>
      </c>
      <c r="E6">
        <v>105</v>
      </c>
      <c r="F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8" sqref="C8"/>
    </sheetView>
  </sheetViews>
  <sheetFormatPr defaultColWidth="9" defaultRowHeight="15" outlineLevelCol="4"/>
  <cols>
    <col min="1" max="1" width="25" customWidth="1"/>
    <col min="2" max="2" width="26.5714285714286" customWidth="1"/>
  </cols>
  <sheetData>
    <row r="1" spans="1:5">
      <c r="A1" s="1" t="s">
        <v>19</v>
      </c>
      <c r="B1" s="1" t="s">
        <v>20</v>
      </c>
      <c r="D1" t="s">
        <v>21</v>
      </c>
      <c r="E1" t="s">
        <v>4</v>
      </c>
    </row>
    <row r="2" spans="1:5">
      <c r="A2" t="s">
        <v>22</v>
      </c>
      <c r="B2">
        <v>5</v>
      </c>
      <c r="D2" t="s">
        <v>7</v>
      </c>
      <c r="E2">
        <f>SUMIF('Daily Reports'!B:B,D2,'Daily Reports'!E:E)</f>
        <v>90</v>
      </c>
    </row>
    <row r="3" spans="1:5">
      <c r="A3" t="s">
        <v>23</v>
      </c>
      <c r="B3">
        <f>SUM('Daily Reports'!D2:D100)</f>
        <v>560</v>
      </c>
      <c r="D3" t="s">
        <v>10</v>
      </c>
      <c r="E3">
        <f>SUMIF('Daily Reports'!B:B,D3,'Daily Reports'!E:E)</f>
        <v>130</v>
      </c>
    </row>
    <row r="4" spans="1:5">
      <c r="A4" t="s">
        <v>24</v>
      </c>
      <c r="B4">
        <f>SUM('Daily Reports'!E2:E100)</f>
        <v>555</v>
      </c>
      <c r="D4" t="s">
        <v>12</v>
      </c>
      <c r="E4">
        <f>SUMIF('Daily Reports'!B:B,D4,'Daily Reports'!E:E)</f>
        <v>70</v>
      </c>
    </row>
    <row r="5" spans="1:5">
      <c r="A5" t="s">
        <v>25</v>
      </c>
      <c r="B5">
        <f>B4/B3</f>
        <v>0.991071428571429</v>
      </c>
      <c r="D5" t="s">
        <v>15</v>
      </c>
      <c r="E5">
        <f>SUMIF('Daily Reports'!B:B,D5,'Daily Reports'!E:E)</f>
        <v>160</v>
      </c>
    </row>
    <row r="6" spans="1:5">
      <c r="D6" t="s">
        <v>17</v>
      </c>
      <c r="E6">
        <f>SUMIF('Daily Reports'!B:B,D6,'Daily Reports'!E:E)</f>
        <v>105</v>
      </c>
    </row>
    <row r="10" spans="1:5">
      <c r="D10" t="s">
        <v>5</v>
      </c>
      <c r="E10" t="s">
        <v>26</v>
      </c>
    </row>
    <row r="11" spans="1:5">
      <c r="D11" t="s">
        <v>11</v>
      </c>
      <c r="E11">
        <f>COUNTIF('Daily Reports'!F:F,D11)</f>
        <v>3</v>
      </c>
    </row>
    <row r="12" spans="1:5">
      <c r="D12" t="s">
        <v>9</v>
      </c>
      <c r="E12">
        <f>COUNTIF('Daily Reports'!F:F,D12)</f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Reports</vt:lpstr>
      <vt:lpstr>MIS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mishra</cp:lastModifiedBy>
  <dcterms:created xsi:type="dcterms:W3CDTF">2026-05-20T18:14:00Z</dcterms:created>
  <dcterms:modified xsi:type="dcterms:W3CDTF">2026-05-20T18:34:34Z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3879F16E05864DC1B9780EFC1D244D87_13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